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dísticas" sheetId="1" state="visible" r:id="rId3"/>
    <sheet name="Enlaces 3 o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<sst xmlns="http://schemas.openxmlformats.org/spreadsheetml/2006/main" count="37" uniqueCount="28">
  <si>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Sin Apagón · Vistas por video</t>
  </si>
  <si>
    <t xml:space="preserve">Datos de Metricool al 3 de octubre de 2026 (mediodía). El video del 3 oct aún no tenía datos.</t>
  </si>
  <si>
    <t xml:space="preserve">Fecha</t>
  </si>
  <si>
    <t xml:space="preserve">Video</t>
  </si>
  <si>
    <t xml:space="preserve">Facebook</t>
  </si>
  <si>
    <t xml:space="preserve">TikTok</t>
  </si>
  <si>
    <t xml:space="preserve">Instagram</t>
  </si>
  <si>
    <t xml:space="preserve">Total</t>
  </si>
  <si>
    <t xml:space="preserve">Me gusta Facebook</t>
  </si>
  <si>
    <t xml:space="preserve">Tiempo medio Facebook (s)</t>
  </si>
  <si>
    <t xml:space="preserve">28 sep</t>
  </si>
  <si>
    <t xml:space="preserve">¿Cuántos paneles necesitas?</t>
  </si>
  <si>
    <t xml:space="preserve">30 sep</t>
  </si>
  <si>
    <t xml:space="preserve">¿Cuántas horas aguanta la batería?</t>
  </si>
  <si>
    <t xml:space="preserve">2 oct</t>
  </si>
  <si>
    <t xml:space="preserve">Montaje (4 pm)</t>
  </si>
  <si>
    <t xml:space="preserve">¿Gastas 140 kWh? (8 pm)</t>
  </si>
  <si>
    <t xml:space="preserve">3 oct</t>
  </si>
  <si>
    <t xml:space="preserve">¿Tu batería no llega a la mañana?</t>
  </si>
  <si>
    <t xml:space="preserve">sin datos</t>
  </si>
  <si>
    <t xml:space="preserve">Azul = dato copiado de Metricool. Total y suma = fórmulas.</t>
  </si>
  <si>
    <t xml:space="preserve">¿Tu batería no llega a la mañana? · publicado 3 oct, 4:00 pm</t>
  </si>
  <si>
    <t xml:space="preserve">https://facebook.com/reel/1424075149815795</t>
  </si>
  <si>
    <t xml:space="preserve">https://www.instagram.com/reel/DeC35PrFWFJ/</t>
  </si>
  <si>
    <t xml:space="preserve">https://www.tiktok.com/@scarfacexiii/video/7692534646369750302</t>
  </si>
  <si>
    <t xml:space="preserve">YouTube</t>
  </si>
  <si>
    <t xml:space="preserve">https://www.youtube.com/shorts/Ypfu-3NwciE</t>
  </si>
  <si>
    <t xml:space="preserve">Para ver datos en tiempo real: sinapagon.goatcounter.com (calculadora) y el Panel profesional de Facebook.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</si>
</sst>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8204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08204F"/>
      <name val="Arial"/>
      <family val="0"/>
      <charset val="1"/>
    </font>
    <font>
      <u val="single"/>
      <sz val="11"/>
      <color rgb="FF1668E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8204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668E3"/>
      <rgbColor rgb="FFC9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82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acebook.com/reel/1424075149815795" TargetMode="External"/><Relationship Id="rId2" Type="http://schemas.openxmlformats.org/officeDocument/2006/relationships/hyperlink" Target="https://www.instagram.com/reel/DeC35PrFWFJ/" TargetMode="External"/><Relationship Id="rId3" Type="http://schemas.openxmlformats.org/officeDocument/2006/relationships/hyperlink" Target="https://www.tiktok.com/@scarfacexiii/video/7692534646369750302" TargetMode="External"/><Relationship Id="rId4" Type="http://schemas.openxmlformats.org/officeDocument/2006/relationships/hyperlink" Target="https://www.youtube.com/shorts/Ypfu-3Nwc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120251</v>
      </c>
      <c r="D5" s="5" t="n">
        <v>1915</v>
      </c>
      <c r="E5" s="5" t="n">
        <v>11</v>
      </c>
      <c r="F5" s="6" t="n">
        <f aca="false">IF(COUNT(C5:E5)=0,"",SUM(C5:E5))</f>
        <v>122177</v>
      </c>
      <c r="G5" s="5" t="n">
        <v>5524</v>
      </c>
      <c r="H5" s="5" t="n">
        <v>17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105059</v>
      </c>
      <c r="D6" s="5" t="n">
        <v>1297</v>
      </c>
      <c r="E6" s="5" t="n">
        <v>51</v>
      </c>
      <c r="F6" s="6" t="n">
        <f aca="false">IF(COUNT(C6:E6)=0,"",SUM(C6:E6))</f>
        <v>106407</v>
      </c>
      <c r="G6" s="5" t="n">
        <v>2888</v>
      </c>
      <c r="H6" s="5" t="n">
        <v>18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185</v>
      </c>
      <c r="D7" s="5" t="n">
        <v>210</v>
      </c>
      <c r="E7" s="5" t="n">
        <v>110</v>
      </c>
      <c r="F7" s="6" t="n">
        <f aca="false">IF(COUNT(C7:E7)=0,"",SUM(C7:E7))</f>
        <v>505</v>
      </c>
      <c r="G7" s="5" t="n">
        <v>2</v>
      </c>
      <c r="H7" s="5" t="n">
        <v>6</v>
      </c>
    </row>
    <row r="8" customFormat="false" ht="15" hidden="false" customHeight="false" outlineLevel="0" collapsed="false">
      <c r="A8" s="4" t="s">
        <v>14</v>
      </c>
      <c r="B8" s="4" t="s">
        <v>16</v>
      </c>
      <c r="C8" s="5" t="n">
        <v>425</v>
      </c>
      <c r="D8" s="5" t="n">
        <v>301</v>
      </c>
      <c r="E8" s="5" t="n">
        <v>23</v>
      </c>
      <c r="F8" s="6" t="n">
        <f aca="false">IF(COUNT(C8:E8)=0,"",SUM(C8:E8))</f>
        <v>749</v>
      </c>
      <c r="G8" s="5" t="n">
        <v>13</v>
      </c>
      <c r="H8" s="5" t="n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6" t="s">
        <v>19</v>
      </c>
      <c r="D9" s="6" t="s">
        <v>19</v>
      </c>
      <c r="E9" s="6" t="s">
        <v>19</v>
      </c>
      <c r="F9" s="6" t="str">
        <f aca="false">IF(COUNT(C9:E9)=0,"",SUM(C9:E9))</f>
        <v/>
      </c>
      <c r="G9" s="6" t="s">
        <v>19</v>
      </c>
      <c r="H9" s="6" t="s">
        <v>19</v>
      </c>
    </row>
    <row r="10" customFormat="false" ht="15" hidden="false" customHeight="false" outlineLevel="0" collapsed="false">
      <c r="A10" s="7"/>
      <c r="B10" s="8" t="s">
        <v>7</v>
      </c>
      <c r="C10" s="9" t="n">
        <f aca="false">SUM(C5:C9)</f>
        <v>225920</v>
      </c>
      <c r="D10" s="9" t="n">
        <f aca="false">SUM(D5:D9)</f>
        <v>3723</v>
      </c>
      <c r="E10" s="9" t="n">
        <f aca="false">SUM(E5:E9)</f>
        <v>195</v>
      </c>
      <c r="F10" s="9" t="n">
        <f aca="false">SUM(F5:F9)</f>
        <v>229838</v>
      </c>
      <c r="G10" s="9" t="n">
        <f aca="false">SUM(G5:G9)</f>
        <v>8427</v>
      </c>
      <c r="H10" s="7"/>
    </row>
    <row r="12" customFormat="false" ht="15" hidden="false" customHeight="false" outlineLevel="0" collapsed="false">
      <c r="A12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</cols>
  <sheetData>
    <row r="1" customFormat="false" ht="15" hidden="false" customHeight="false" outlineLevel="0" collapsed="false">
      <c r="A1" s="11" t="s">
        <v>21</v>
      </c>
    </row>
    <row r="3" customFormat="false" ht="15" hidden="false" customHeight="false" outlineLevel="0" collapsed="false">
      <c r="A3" s="12" t="s">
        <v>4</v>
      </c>
      <c r="B3" s="13" t="s">
        <v>22</v>
      </c>
    </row>
    <row r="4" customFormat="false" ht="15" hidden="false" customHeight="false" outlineLevel="0" collapsed="false">
      <c r="A4" s="12" t="s">
        <v>6</v>
      </c>
      <c r="B4" s="13" t="s">
        <v>23</v>
      </c>
    </row>
    <row r="5" customFormat="false" ht="15" hidden="false" customHeight="false" outlineLevel="0" collapsed="false">
      <c r="A5" s="12" t="s">
        <v>5</v>
      </c>
      <c r="B5" s="13" t="s">
        <v>24</v>
      </c>
    </row>
    <row r="6" customFormat="false" ht="15" hidden="false" customHeight="false" outlineLevel="0" collapsed="false">
      <c r="A6" s="12" t="s">
        <v>25</v>
      </c>
      <c r="B6" s="13" t="s">
        <v>26</v>
      </c>
    </row>
    <row r="8" customFormat="false" ht="15" hidden="false" customHeight="false" outlineLevel="0" collapsed="false">
      <c r="A8" s="10" t="s">
        <v>27</v>
      </c>
    </row>
  </sheetData>
  <hyperlinks>
    <hyperlink ref="B3" r:id="rId1" display="https://facebook.com/reel/1424075149815795"/>
    <hyperlink ref="B4" r:id="rId2" display="https://www.instagram.com/reel/DeC35PrFWFJ/"/>
    <hyperlink ref="B5" r:id="rId3" display="https://www.tiktok.com/@scarfacexiii/video/7692534646369750302"/>
    <hyperlink ref="B6" r:id="rId4" display="https://www.youtube.com/shorts/Ypfu-3Nwci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2026-10-03T23:43:15Z</dcterms:created>
  <dc:creator>openpyxl</dc:creator>
  <dc:description/>
  <dc:language>en-US</dc:language>
  <cp:lastModifiedBy/>
  <dcterms:modified xsi:type="dcterms:W3CDTF">2026-10-03T23:43:15Z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